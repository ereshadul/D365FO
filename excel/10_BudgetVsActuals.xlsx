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(&quot;$&quot;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CACACUMO INC — Budget vs Actuals | Q1 2024</t>
        </is>
      </c>
    </row>
    <row r="2" ht="16" customHeight="1">
      <c r="A2" s="2" t="inlineStr">
        <is>
          <t>D365 F&amp;O: Budgeting &gt; Budget Plans | Compare with General Ledger Actuals</t>
        </is>
      </c>
    </row>
    <row r="3">
      <c r="A3" s="3" t="inlineStr">
        <is>
          <t>Account</t>
        </is>
      </c>
      <c r="B3" s="3" t="inlineStr">
        <is>
          <t>Description</t>
        </is>
      </c>
      <c r="C3" s="3" t="inlineStr">
        <is>
          <t>Jan Budget</t>
        </is>
      </c>
      <c r="D3" s="3" t="inlineStr">
        <is>
          <t>Jan Actual</t>
        </is>
      </c>
      <c r="E3" s="3" t="inlineStr">
        <is>
          <t>Jan Variance</t>
        </is>
      </c>
      <c r="F3" s="3" t="inlineStr">
        <is>
          <t>Feb Budget</t>
        </is>
      </c>
      <c r="G3" s="3" t="inlineStr">
        <is>
          <t>Feb Actual</t>
        </is>
      </c>
      <c r="H3" s="3" t="inlineStr">
        <is>
          <t>Feb Variance</t>
        </is>
      </c>
    </row>
    <row r="4">
      <c r="A4" s="4" t="inlineStr">
        <is>
          <t>4000</t>
        </is>
      </c>
      <c r="B4" s="4" t="inlineStr">
        <is>
          <t>Sales Revenue - Beverages</t>
        </is>
      </c>
      <c r="C4" s="5" t="n">
        <v>280000</v>
      </c>
      <c r="D4" s="5" t="n">
        <v>312500</v>
      </c>
      <c r="E4" s="5">
        <f>E4-D4</f>
        <v/>
      </c>
      <c r="F4" s="5" t="n">
        <v>295000</v>
      </c>
      <c r="G4" s="5" t="n">
        <v>338200</v>
      </c>
      <c r="H4" s="5">
        <f>H4-G4</f>
        <v/>
      </c>
    </row>
    <row r="5">
      <c r="A5" s="6" t="inlineStr">
        <is>
          <t>4100</t>
        </is>
      </c>
      <c r="B5" s="6" t="inlineStr">
        <is>
          <t>Sales Revenue - Concentrates</t>
        </is>
      </c>
      <c r="C5" s="7" t="n">
        <v>45000</v>
      </c>
      <c r="D5" s="7" t="n">
        <v>38200</v>
      </c>
      <c r="E5" s="7">
        <f>E5-D5</f>
        <v/>
      </c>
      <c r="F5" s="7" t="n">
        <v>48000</v>
      </c>
      <c r="G5" s="7" t="n">
        <v>41500</v>
      </c>
      <c r="H5" s="7">
        <f>H5-G5</f>
        <v/>
      </c>
    </row>
    <row r="6">
      <c r="A6" s="4" t="inlineStr">
        <is>
          <t>4900</t>
        </is>
      </c>
      <c r="B6" s="4" t="inlineStr">
        <is>
          <t>Sales Discounts</t>
        </is>
      </c>
      <c r="C6" s="5" t="n">
        <v>-12000</v>
      </c>
      <c r="D6" s="5" t="n">
        <v>-15300</v>
      </c>
      <c r="E6" s="5">
        <f>E6-D6</f>
        <v/>
      </c>
      <c r="F6" s="5" t="n">
        <v>-13000</v>
      </c>
      <c r="G6" s="5" t="n">
        <v>-16200</v>
      </c>
      <c r="H6" s="5">
        <f>H6-G6</f>
        <v/>
      </c>
    </row>
    <row r="7">
      <c r="A7" s="8" t="inlineStr"/>
      <c r="B7" s="8" t="inlineStr">
        <is>
          <t>NET REVENUE</t>
        </is>
      </c>
      <c r="C7" s="9">
        <f>SUM(D4:D6)</f>
        <v/>
      </c>
      <c r="D7" s="9">
        <f>SUM(E4:E6)</f>
        <v/>
      </c>
      <c r="E7" s="9">
        <f>E7-D7</f>
        <v/>
      </c>
      <c r="F7" s="9">
        <f>SUM(G4:G6)</f>
        <v/>
      </c>
      <c r="G7" s="9">
        <f>SUM(H4:H6)</f>
        <v/>
      </c>
      <c r="H7" s="9">
        <f>H7-G7</f>
        <v/>
      </c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>
      <c r="A9" s="6" t="inlineStr">
        <is>
          <t>5000</t>
        </is>
      </c>
      <c r="B9" s="6" t="inlineStr">
        <is>
          <t>Cost of Goods Sold</t>
        </is>
      </c>
      <c r="C9" s="7" t="n">
        <v>-155000</v>
      </c>
      <c r="D9" s="7" t="n">
        <v>-168400</v>
      </c>
      <c r="E9" s="7">
        <f>E9-D9</f>
        <v/>
      </c>
      <c r="F9" s="7" t="n">
        <v>-162000</v>
      </c>
      <c r="G9" s="7" t="n">
        <v>-174300</v>
      </c>
      <c r="H9" s="7">
        <f>H9-G9</f>
        <v/>
      </c>
    </row>
    <row r="10">
      <c r="A10" s="4" t="inlineStr">
        <is>
          <t>5100</t>
        </is>
      </c>
      <c r="B10" s="4" t="inlineStr">
        <is>
          <t>Raw Material Cost</t>
        </is>
      </c>
      <c r="C10" s="5" t="n">
        <v>-48000</v>
      </c>
      <c r="D10" s="5" t="n">
        <v>-51200</v>
      </c>
      <c r="E10" s="5">
        <f>E10-D10</f>
        <v/>
      </c>
      <c r="F10" s="5" t="n">
        <v>-50000</v>
      </c>
      <c r="G10" s="5" t="n">
        <v>-53800</v>
      </c>
      <c r="H10" s="5">
        <f>H10-G10</f>
        <v/>
      </c>
    </row>
    <row r="11">
      <c r="A11" s="6" t="inlineStr">
        <is>
          <t>5200</t>
        </is>
      </c>
      <c r="B11" s="6" t="inlineStr">
        <is>
          <t>Packaging Cost</t>
        </is>
      </c>
      <c r="C11" s="7" t="n">
        <v>-28000</v>
      </c>
      <c r="D11" s="7" t="n">
        <v>-31500</v>
      </c>
      <c r="E11" s="7">
        <f>E11-D11</f>
        <v/>
      </c>
      <c r="F11" s="7" t="n">
        <v>-29000</v>
      </c>
      <c r="G11" s="7" t="n">
        <v>-32400</v>
      </c>
      <c r="H11" s="7">
        <f>H11-G11</f>
        <v/>
      </c>
    </row>
    <row r="12">
      <c r="A12" s="4" t="inlineStr">
        <is>
          <t>5300</t>
        </is>
      </c>
      <c r="B12" s="4" t="inlineStr">
        <is>
          <t>Manufacturing Labor</t>
        </is>
      </c>
      <c r="C12" s="5" t="n">
        <v>-38000</v>
      </c>
      <c r="D12" s="5" t="n">
        <v>-40200</v>
      </c>
      <c r="E12" s="5">
        <f>E12-D12</f>
        <v/>
      </c>
      <c r="F12" s="5" t="n">
        <v>-39000</v>
      </c>
      <c r="G12" s="5" t="n">
        <v>-41800</v>
      </c>
      <c r="H12" s="5">
        <f>H12-G12</f>
        <v/>
      </c>
    </row>
    <row r="13">
      <c r="A13" s="8" t="inlineStr"/>
      <c r="B13" s="8" t="inlineStr">
        <is>
          <t>GROSS PROFIT</t>
        </is>
      </c>
      <c r="C13" s="9">
        <f>D7+SUM(D9:D12)</f>
        <v/>
      </c>
      <c r="D13" s="9">
        <f>E7+SUM(E9:E12)</f>
        <v/>
      </c>
      <c r="E13" s="9">
        <f>E13-D13</f>
        <v/>
      </c>
      <c r="F13" s="9">
        <f>G7+SUM(G9:G12)</f>
        <v/>
      </c>
      <c r="G13" s="9">
        <f>H7+SUM(H9:H12)</f>
        <v/>
      </c>
      <c r="H13" s="9">
        <f>H13-G13</f>
        <v/>
      </c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6" t="inlineStr">
        <is>
          <t>6000</t>
        </is>
      </c>
      <c r="B15" s="6" t="inlineStr">
        <is>
          <t>Salaries - Sales</t>
        </is>
      </c>
      <c r="C15" s="7" t="n">
        <v>-32000</v>
      </c>
      <c r="D15" s="7" t="n">
        <v>-33500</v>
      </c>
      <c r="E15" s="7">
        <f>E15-D15</f>
        <v/>
      </c>
      <c r="F15" s="7" t="n">
        <v>-32000</v>
      </c>
      <c r="G15" s="7" t="n">
        <v>-33500</v>
      </c>
      <c r="H15" s="7">
        <f>H15-G15</f>
        <v/>
      </c>
    </row>
    <row r="16">
      <c r="A16" s="4" t="inlineStr">
        <is>
          <t>6100</t>
        </is>
      </c>
      <c r="B16" s="4" t="inlineStr">
        <is>
          <t>Salaries - Admin</t>
        </is>
      </c>
      <c r="C16" s="5" t="n">
        <v>-18000</v>
      </c>
      <c r="D16" s="5" t="n">
        <v>-18000</v>
      </c>
      <c r="E16" s="5">
        <f>E16-D16</f>
        <v/>
      </c>
      <c r="F16" s="5" t="n">
        <v>-18000</v>
      </c>
      <c r="G16" s="5" t="n">
        <v>-18000</v>
      </c>
      <c r="H16" s="5">
        <f>H16-G16</f>
        <v/>
      </c>
    </row>
    <row r="17">
      <c r="A17" s="6" t="inlineStr">
        <is>
          <t>6200</t>
        </is>
      </c>
      <c r="B17" s="6" t="inlineStr">
        <is>
          <t>Rent - Warehouse</t>
        </is>
      </c>
      <c r="C17" s="7" t="n">
        <v>-8500</v>
      </c>
      <c r="D17" s="7" t="n">
        <v>-8500</v>
      </c>
      <c r="E17" s="7">
        <f>E17-D17</f>
        <v/>
      </c>
      <c r="F17" s="7" t="n">
        <v>-8500</v>
      </c>
      <c r="G17" s="7" t="n">
        <v>-8500</v>
      </c>
      <c r="H17" s="7">
        <f>H17-G17</f>
        <v/>
      </c>
    </row>
    <row r="18">
      <c r="A18" s="4" t="inlineStr">
        <is>
          <t>6300</t>
        </is>
      </c>
      <c r="B18" s="4" t="inlineStr">
        <is>
          <t>Utilities</t>
        </is>
      </c>
      <c r="C18" s="5" t="n">
        <v>-4200</v>
      </c>
      <c r="D18" s="5" t="n">
        <v>-4850</v>
      </c>
      <c r="E18" s="5">
        <f>E18-D18</f>
        <v/>
      </c>
      <c r="F18" s="5" t="n">
        <v>-4000</v>
      </c>
      <c r="G18" s="5" t="n">
        <v>-3850</v>
      </c>
      <c r="H18" s="5">
        <f>H18-G18</f>
        <v/>
      </c>
    </row>
    <row r="19">
      <c r="A19" s="6" t="inlineStr">
        <is>
          <t>6400</t>
        </is>
      </c>
      <c r="B19" s="6" t="inlineStr">
        <is>
          <t>Marketing</t>
        </is>
      </c>
      <c r="C19" s="7" t="n">
        <v>-15000</v>
      </c>
      <c r="D19" s="7" t="n">
        <v>-18200</v>
      </c>
      <c r="E19" s="7">
        <f>E19-D19</f>
        <v/>
      </c>
      <c r="F19" s="7" t="n">
        <v>-16000</v>
      </c>
      <c r="G19" s="7" t="n">
        <v>-14500</v>
      </c>
      <c r="H19" s="7">
        <f>H19-G19</f>
        <v/>
      </c>
    </row>
    <row r="20">
      <c r="A20" s="4" t="inlineStr">
        <is>
          <t>6500</t>
        </is>
      </c>
      <c r="B20" s="4" t="inlineStr">
        <is>
          <t>Freight &amp; Shipping</t>
        </is>
      </c>
      <c r="C20" s="5" t="n">
        <v>-9000</v>
      </c>
      <c r="D20" s="5" t="n">
        <v>-10100</v>
      </c>
      <c r="E20" s="5">
        <f>E20-D20</f>
        <v/>
      </c>
      <c r="F20" s="5" t="n">
        <v>-9500</v>
      </c>
      <c r="G20" s="5" t="n">
        <v>-11200</v>
      </c>
      <c r="H20" s="5">
        <f>H20-G20</f>
        <v/>
      </c>
    </row>
    <row r="21">
      <c r="A21" s="6" t="inlineStr">
        <is>
          <t>6600</t>
        </is>
      </c>
      <c r="B21" s="6" t="inlineStr">
        <is>
          <t>IT &amp; Software</t>
        </is>
      </c>
      <c r="C21" s="7" t="n">
        <v>-2000</v>
      </c>
      <c r="D21" s="7" t="n">
        <v>-18000</v>
      </c>
      <c r="E21" s="7">
        <f>E21-D21</f>
        <v/>
      </c>
      <c r="F21" s="7" t="n">
        <v>-1500</v>
      </c>
      <c r="G21" s="7" t="n">
        <v>-1500</v>
      </c>
      <c r="H21" s="7">
        <f>H21-G21</f>
        <v/>
      </c>
    </row>
    <row r="22">
      <c r="A22" s="4" t="inlineStr">
        <is>
          <t>7000</t>
        </is>
      </c>
      <c r="B22" s="4" t="inlineStr">
        <is>
          <t>Depreciation</t>
        </is>
      </c>
      <c r="C22" s="5" t="n">
        <v>-5500</v>
      </c>
      <c r="D22" s="5" t="n">
        <v>-5500</v>
      </c>
      <c r="E22" s="5">
        <f>E22-D22</f>
        <v/>
      </c>
      <c r="F22" s="5" t="n">
        <v>-5500</v>
      </c>
      <c r="G22" s="5" t="n">
        <v>-5500</v>
      </c>
      <c r="H22" s="5">
        <f>H22-G22</f>
        <v/>
      </c>
    </row>
    <row r="23">
      <c r="A23" s="8" t="inlineStr"/>
      <c r="B23" s="8" t="inlineStr">
        <is>
          <t>TOTAL OPEX</t>
        </is>
      </c>
      <c r="C23" s="9">
        <f>SUM(D15:D22)</f>
        <v/>
      </c>
      <c r="D23" s="9">
        <f>SUM(E15:E22)</f>
        <v/>
      </c>
      <c r="E23" s="9">
        <f>E23-D23</f>
        <v/>
      </c>
      <c r="F23" s="9">
        <f>SUM(G15:G22)</f>
        <v/>
      </c>
      <c r="G23" s="9">
        <f>SUM(H15:H22)</f>
        <v/>
      </c>
      <c r="H23" s="9">
        <f>H23-G23</f>
        <v/>
      </c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>
      <c r="A25" s="8" t="inlineStr"/>
      <c r="B25" s="8" t="inlineStr">
        <is>
          <t>NET INCOME</t>
        </is>
      </c>
      <c r="C25" s="9">
        <f>D13+D23</f>
        <v/>
      </c>
      <c r="D25" s="9">
        <f>E13+E23</f>
        <v/>
      </c>
      <c r="E25" s="9">
        <f>E25-D25</f>
        <v/>
      </c>
      <c r="F25" s="9">
        <f>G13+G23</f>
        <v/>
      </c>
      <c r="G25" s="9">
        <f>H13+H23</f>
        <v/>
      </c>
      <c r="H25" s="9">
        <f>H25-G25</f>
        <v/>
      </c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2026-06-15T23:44:55Z</dcterms:created>
  <dcterms:modified xmlns:dcterms="http://purl.org/dc/terms/" xmlns:xsi="http://www.w3.org/2001/XMLSchema-instance" xsi:type="dcterms:W3CDTF">2026-06-15T23:44:55Z</dcterms:modified>
</cp:coreProperties>
</file>