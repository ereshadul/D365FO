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28" customWidth="1" min="5" max="5"/>
    <col width="8" customWidth="1" min="6" max="6"/>
    <col width="6" customWidth="1" min="7" max="7"/>
    <col width="12" customWidth="1" min="8" max="8"/>
    <col width="14" customWidth="1" min="9" max="9"/>
    <col width="14" customWidth="1" min="10" max="10"/>
  </cols>
  <sheetData>
    <row r="1" ht="24" customHeight="1">
      <c r="A1" s="1" t="inlineStr">
        <is>
          <t>CACACUMO INC — Open Purchase Orders</t>
        </is>
      </c>
    </row>
    <row r="2" ht="16" customHeight="1">
      <c r="A2" s="2" t="inlineStr">
        <is>
          <t>D365 F&amp;O: Procurement and Sourcing &gt; Purchase Orders &gt; All Purchase Orders</t>
        </is>
      </c>
    </row>
    <row r="3">
      <c r="A3" s="3" t="inlineStr">
        <is>
          <t>PO Number</t>
        </is>
      </c>
      <c r="B3" s="3" t="inlineStr">
        <is>
          <t>Vendor ID</t>
        </is>
      </c>
      <c r="C3" s="3" t="inlineStr">
        <is>
          <t>Vendor Name</t>
        </is>
      </c>
      <c r="D3" s="3" t="inlineStr">
        <is>
          <t>Item Code</t>
        </is>
      </c>
      <c r="E3" s="3" t="inlineStr">
        <is>
          <t>Description</t>
        </is>
      </c>
      <c r="F3" s="3" t="inlineStr">
        <is>
          <t>Qty</t>
        </is>
      </c>
      <c r="G3" s="3" t="inlineStr">
        <is>
          <t>Unit</t>
        </is>
      </c>
      <c r="H3" s="3" t="inlineStr">
        <is>
          <t>Unit Price</t>
        </is>
      </c>
      <c r="I3" s="3" t="inlineStr">
        <is>
          <t>Total</t>
        </is>
      </c>
      <c r="J3" s="3" t="inlineStr">
        <is>
          <t>Delivery Date</t>
        </is>
      </c>
    </row>
    <row r="4">
      <c r="A4" s="4" t="inlineStr">
        <is>
          <t>PO-2024-001</t>
        </is>
      </c>
      <c r="B4" s="4" t="inlineStr">
        <is>
          <t>V001</t>
        </is>
      </c>
      <c r="C4" s="4" t="inlineStr">
        <is>
          <t>SugarCo Supply LLC</t>
        </is>
      </c>
      <c r="D4" s="4" t="inlineStr">
        <is>
          <t>RM-SUGAR-50</t>
        </is>
      </c>
      <c r="E4" s="4" t="inlineStr">
        <is>
          <t>Refined Sugar 50lb Bag</t>
        </is>
      </c>
      <c r="F4" s="5" t="n">
        <v>500</v>
      </c>
      <c r="G4" s="4" t="inlineStr">
        <is>
          <t>BAG</t>
        </is>
      </c>
      <c r="H4" s="6" t="n">
        <v>28.5</v>
      </c>
      <c r="I4" s="6">
        <f>F4*H4</f>
        <v/>
      </c>
      <c r="J4" s="4" t="inlineStr">
        <is>
          <t>2024-02-05</t>
        </is>
      </c>
    </row>
    <row r="5">
      <c r="A5" s="7" t="inlineStr">
        <is>
          <t>PO-2024-002</t>
        </is>
      </c>
      <c r="B5" s="7" t="inlineStr">
        <is>
          <t>V002</t>
        </is>
      </c>
      <c r="C5" s="7" t="inlineStr">
        <is>
          <t>PureWater Solutions</t>
        </is>
      </c>
      <c r="D5" s="7" t="inlineStr">
        <is>
          <t>RM-WATER-GAL</t>
        </is>
      </c>
      <c r="E5" s="7" t="inlineStr">
        <is>
          <t>Purified Water - 1 Gallon</t>
        </is>
      </c>
      <c r="F5" s="8" t="n">
        <v>10000</v>
      </c>
      <c r="G5" s="7" t="inlineStr">
        <is>
          <t>GAL</t>
        </is>
      </c>
      <c r="H5" s="9" t="n">
        <v>0.85</v>
      </c>
      <c r="I5" s="9">
        <f>F5*H5</f>
        <v/>
      </c>
      <c r="J5" s="7" t="inlineStr">
        <is>
          <t>2024-02-08</t>
        </is>
      </c>
    </row>
    <row r="6">
      <c r="A6" s="4" t="inlineStr">
        <is>
          <t>PO-2024-003</t>
        </is>
      </c>
      <c r="B6" s="4" t="inlineStr">
        <is>
          <t>V003</t>
        </is>
      </c>
      <c r="C6" s="4" t="inlineStr">
        <is>
          <t>FlavorTech Industries</t>
        </is>
      </c>
      <c r="D6" s="4" t="inlineStr">
        <is>
          <t>RM-FLAVOR-ORA</t>
        </is>
      </c>
      <c r="E6" s="4" t="inlineStr">
        <is>
          <t>Orange Flavor Concentrate</t>
        </is>
      </c>
      <c r="F6" s="5" t="n">
        <v>200</v>
      </c>
      <c r="G6" s="4" t="inlineStr">
        <is>
          <t>LTR</t>
        </is>
      </c>
      <c r="H6" s="6" t="n">
        <v>45</v>
      </c>
      <c r="I6" s="6">
        <f>F6*H6</f>
        <v/>
      </c>
      <c r="J6" s="4" t="inlineStr">
        <is>
          <t>2024-02-10</t>
        </is>
      </c>
    </row>
    <row r="7">
      <c r="A7" s="7" t="inlineStr">
        <is>
          <t>PO-2024-004</t>
        </is>
      </c>
      <c r="B7" s="7" t="inlineStr">
        <is>
          <t>V003</t>
        </is>
      </c>
      <c r="C7" s="7" t="inlineStr">
        <is>
          <t>FlavorTech Industries</t>
        </is>
      </c>
      <c r="D7" s="7" t="inlineStr">
        <is>
          <t>RM-FLAVOR-LEM</t>
        </is>
      </c>
      <c r="E7" s="7" t="inlineStr">
        <is>
          <t>Lemon Flavor Concentrate</t>
        </is>
      </c>
      <c r="F7" s="8" t="n">
        <v>150</v>
      </c>
      <c r="G7" s="7" t="inlineStr">
        <is>
          <t>LTR</t>
        </is>
      </c>
      <c r="H7" s="9" t="n">
        <v>42</v>
      </c>
      <c r="I7" s="9">
        <f>F7*H7</f>
        <v/>
      </c>
      <c r="J7" s="7" t="inlineStr">
        <is>
          <t>2024-02-10</t>
        </is>
      </c>
    </row>
    <row r="8">
      <c r="A8" s="4" t="inlineStr">
        <is>
          <t>PO-2024-005</t>
        </is>
      </c>
      <c r="B8" s="4" t="inlineStr">
        <is>
          <t>V004</t>
        </is>
      </c>
      <c r="C8" s="4" t="inlineStr">
        <is>
          <t>PackRight Corp</t>
        </is>
      </c>
      <c r="D8" s="4" t="inlineStr">
        <is>
          <t>PKG-BOTTLE-12</t>
        </is>
      </c>
      <c r="E8" s="4" t="inlineStr">
        <is>
          <t>12oz PET Bottles - Case/24</t>
        </is>
      </c>
      <c r="F8" s="5" t="n">
        <v>2000</v>
      </c>
      <c r="G8" s="4" t="inlineStr">
        <is>
          <t>CASE</t>
        </is>
      </c>
      <c r="H8" s="6" t="n">
        <v>18.75</v>
      </c>
      <c r="I8" s="6">
        <f>F8*H8</f>
        <v/>
      </c>
      <c r="J8" s="4" t="inlineStr">
        <is>
          <t>2024-02-12</t>
        </is>
      </c>
    </row>
    <row r="9">
      <c r="A9" s="7" t="inlineStr">
        <is>
          <t>PO-2024-006</t>
        </is>
      </c>
      <c r="B9" s="7" t="inlineStr">
        <is>
          <t>V005</t>
        </is>
      </c>
      <c r="C9" s="7" t="inlineStr">
        <is>
          <t>CanAmerica Ltd</t>
        </is>
      </c>
      <c r="D9" s="7" t="inlineStr">
        <is>
          <t>PKG-CAN-12</t>
        </is>
      </c>
      <c r="E9" s="7" t="inlineStr">
        <is>
          <t>12oz Aluminum Cans - Case/24</t>
        </is>
      </c>
      <c r="F9" s="8" t="n">
        <v>3000</v>
      </c>
      <c r="G9" s="7" t="inlineStr">
        <is>
          <t>CASE</t>
        </is>
      </c>
      <c r="H9" s="9" t="n">
        <v>14.2</v>
      </c>
      <c r="I9" s="9">
        <f>F9*H9</f>
        <v/>
      </c>
      <c r="J9" s="7" t="inlineStr">
        <is>
          <t>2024-02-15</t>
        </is>
      </c>
    </row>
    <row r="10">
      <c r="A10" s="4" t="inlineStr">
        <is>
          <t>PO-2024-007</t>
        </is>
      </c>
      <c r="B10" s="4" t="inlineStr">
        <is>
          <t>V006</t>
        </is>
      </c>
      <c r="C10" s="4" t="inlineStr">
        <is>
          <t>LabelPro Printing</t>
        </is>
      </c>
      <c r="D10" s="4" t="inlineStr">
        <is>
          <t>PKG-LABEL-ORA</t>
        </is>
      </c>
      <c r="E10" s="4" t="inlineStr">
        <is>
          <t>Orange Crush Labels - Roll/500</t>
        </is>
      </c>
      <c r="F10" s="5" t="n">
        <v>400</v>
      </c>
      <c r="G10" s="4" t="inlineStr">
        <is>
          <t>ROLL</t>
        </is>
      </c>
      <c r="H10" s="6" t="n">
        <v>12</v>
      </c>
      <c r="I10" s="6">
        <f>F10*H10</f>
        <v/>
      </c>
      <c r="J10" s="4" t="inlineStr">
        <is>
          <t>2024-02-14</t>
        </is>
      </c>
    </row>
    <row r="11">
      <c r="A11" s="7" t="inlineStr">
        <is>
          <t>PO-2024-008</t>
        </is>
      </c>
      <c r="B11" s="7" t="inlineStr">
        <is>
          <t>V001</t>
        </is>
      </c>
      <c r="C11" s="7" t="inlineStr">
        <is>
          <t>SugarCo Supply LLC</t>
        </is>
      </c>
      <c r="D11" s="7" t="inlineStr">
        <is>
          <t>RM-SUGAR-50</t>
        </is>
      </c>
      <c r="E11" s="7" t="inlineStr">
        <is>
          <t>Refined Sugar 50lb Bag</t>
        </is>
      </c>
      <c r="F11" s="8" t="n">
        <v>300</v>
      </c>
      <c r="G11" s="7" t="inlineStr">
        <is>
          <t>BAG</t>
        </is>
      </c>
      <c r="H11" s="9" t="n">
        <v>28.5</v>
      </c>
      <c r="I11" s="9">
        <f>F11*H11</f>
        <v/>
      </c>
      <c r="J11" s="7" t="inlineStr">
        <is>
          <t>2024-02-20</t>
        </is>
      </c>
    </row>
    <row r="12">
      <c r="A12" s="4" t="inlineStr">
        <is>
          <t>PO-2024-009</t>
        </is>
      </c>
      <c r="B12" s="4" t="inlineStr">
        <is>
          <t>V011</t>
        </is>
      </c>
      <c r="C12" s="4" t="inlineStr">
        <is>
          <t>FruitBurst Extracts</t>
        </is>
      </c>
      <c r="D12" s="4" t="inlineStr">
        <is>
          <t>RM-EXTRACT-MNG</t>
        </is>
      </c>
      <c r="E12" s="4" t="inlineStr">
        <is>
          <t>Mango Extract Concentrate</t>
        </is>
      </c>
      <c r="F12" s="5" t="n">
        <v>100</v>
      </c>
      <c r="G12" s="4" t="inlineStr">
        <is>
          <t>LTR</t>
        </is>
      </c>
      <c r="H12" s="6" t="n">
        <v>62</v>
      </c>
      <c r="I12" s="6">
        <f>F12*H12</f>
        <v/>
      </c>
      <c r="J12" s="4" t="inlineStr">
        <is>
          <t>2024-02-18</t>
        </is>
      </c>
    </row>
    <row r="13">
      <c r="A13" s="7" t="inlineStr">
        <is>
          <t>PO-2024-010</t>
        </is>
      </c>
      <c r="B13" s="7" t="inlineStr">
        <is>
          <t>V012</t>
        </is>
      </c>
      <c r="C13" s="7" t="inlineStr">
        <is>
          <t>CarbonTech Gas</t>
        </is>
      </c>
      <c r="D13" s="7" t="inlineStr">
        <is>
          <t>RM-CO2-TANK</t>
        </is>
      </c>
      <c r="E13" s="7" t="inlineStr">
        <is>
          <t>CO2 Gas Tank - 50lb</t>
        </is>
      </c>
      <c r="F13" s="8" t="n">
        <v>80</v>
      </c>
      <c r="G13" s="7" t="inlineStr">
        <is>
          <t>TANK</t>
        </is>
      </c>
      <c r="H13" s="9" t="n">
        <v>55</v>
      </c>
      <c r="I13" s="9">
        <f>F13*H13</f>
        <v/>
      </c>
      <c r="J13" s="7" t="inlineStr">
        <is>
          <t>2024-02-16</t>
        </is>
      </c>
    </row>
    <row r="14">
      <c r="A14" s="4" t="inlineStr">
        <is>
          <t>PO-2024-011</t>
        </is>
      </c>
      <c r="B14" s="4" t="inlineStr">
        <is>
          <t>V013</t>
        </is>
      </c>
      <c r="C14" s="4" t="inlineStr">
        <is>
          <t>GreenLeaf Herbs LLC</t>
        </is>
      </c>
      <c r="D14" s="4" t="inlineStr">
        <is>
          <t>RM-MINT-KG</t>
        </is>
      </c>
      <c r="E14" s="4" t="inlineStr">
        <is>
          <t>Fresh Mint Extract - kg</t>
        </is>
      </c>
      <c r="F14" s="5" t="n">
        <v>60</v>
      </c>
      <c r="G14" s="4" t="inlineStr">
        <is>
          <t>KG</t>
        </is>
      </c>
      <c r="H14" s="6" t="n">
        <v>38</v>
      </c>
      <c r="I14" s="6">
        <f>F14*H14</f>
        <v/>
      </c>
      <c r="J14" s="4" t="inlineStr">
        <is>
          <t>2024-02-22</t>
        </is>
      </c>
    </row>
    <row r="15">
      <c r="A15" s="7" t="inlineStr">
        <is>
          <t>PO-2024-012</t>
        </is>
      </c>
      <c r="B15" s="7" t="inlineStr">
        <is>
          <t>V004</t>
        </is>
      </c>
      <c r="C15" s="7" t="inlineStr">
        <is>
          <t>PackRight Corp</t>
        </is>
      </c>
      <c r="D15" s="7" t="inlineStr">
        <is>
          <t>PKG-BOX-SHIP</t>
        </is>
      </c>
      <c r="E15" s="7" t="inlineStr">
        <is>
          <t>Shipping Boxes 12x12x10</t>
        </is>
      </c>
      <c r="F15" s="8" t="n">
        <v>1000</v>
      </c>
      <c r="G15" s="7" t="inlineStr">
        <is>
          <t>EACH</t>
        </is>
      </c>
      <c r="H15" s="9" t="n">
        <v>1.2</v>
      </c>
      <c r="I15" s="9">
        <f>F15*H15</f>
        <v/>
      </c>
      <c r="J15" s="7" t="inlineStr">
        <is>
          <t>2024-02-25</t>
        </is>
      </c>
    </row>
    <row r="16">
      <c r="A16" s="4" t="inlineStr">
        <is>
          <t>PO-2024-013</t>
        </is>
      </c>
      <c r="B16" s="4" t="inlineStr">
        <is>
          <t>V014</t>
        </is>
      </c>
      <c r="C16" s="4" t="inlineStr">
        <is>
          <t>SecurePack Solutions</t>
        </is>
      </c>
      <c r="D16" s="4" t="inlineStr">
        <is>
          <t>PKG-SEAL</t>
        </is>
      </c>
      <c r="E16" s="4" t="inlineStr">
        <is>
          <t>Industrial Seal Tape - Roll</t>
        </is>
      </c>
      <c r="F16" s="5" t="n">
        <v>500</v>
      </c>
      <c r="G16" s="4" t="inlineStr">
        <is>
          <t>ROLL</t>
        </is>
      </c>
      <c r="H16" s="6" t="n">
        <v>3.5</v>
      </c>
      <c r="I16" s="6">
        <f>F16*H16</f>
        <v/>
      </c>
      <c r="J16" s="4" t="inlineStr">
        <is>
          <t>2024-02-22</t>
        </is>
      </c>
    </row>
    <row r="17">
      <c r="A17" s="7" t="inlineStr">
        <is>
          <t>PO-2024-014</t>
        </is>
      </c>
      <c r="B17" s="7" t="inlineStr">
        <is>
          <t>V002</t>
        </is>
      </c>
      <c r="C17" s="7" t="inlineStr">
        <is>
          <t>PureWater Solutions</t>
        </is>
      </c>
      <c r="D17" s="7" t="inlineStr">
        <is>
          <t>RM-WATER-GAL</t>
        </is>
      </c>
      <c r="E17" s="7" t="inlineStr">
        <is>
          <t>Purified Water - 1 Gallon</t>
        </is>
      </c>
      <c r="F17" s="8" t="n">
        <v>8000</v>
      </c>
      <c r="G17" s="7" t="inlineStr">
        <is>
          <t>GAL</t>
        </is>
      </c>
      <c r="H17" s="9" t="n">
        <v>0.85</v>
      </c>
      <c r="I17" s="9">
        <f>F17*H17</f>
        <v/>
      </c>
      <c r="J17" s="7" t="inlineStr">
        <is>
          <t>2024-02-28</t>
        </is>
      </c>
    </row>
    <row r="18">
      <c r="A18" s="4" t="inlineStr">
        <is>
          <t>PO-2024-015</t>
        </is>
      </c>
      <c r="B18" s="4" t="inlineStr">
        <is>
          <t>V005</t>
        </is>
      </c>
      <c r="C18" s="4" t="inlineStr">
        <is>
          <t>CanAmerica Ltd</t>
        </is>
      </c>
      <c r="D18" s="4" t="inlineStr">
        <is>
          <t>PKG-CAN-16</t>
        </is>
      </c>
      <c r="E18" s="4" t="inlineStr">
        <is>
          <t>16oz Aluminum Cans - Case/12</t>
        </is>
      </c>
      <c r="F18" s="5" t="n">
        <v>1500</v>
      </c>
      <c r="G18" s="4" t="inlineStr">
        <is>
          <t>CASE</t>
        </is>
      </c>
      <c r="H18" s="6" t="n">
        <v>16.8</v>
      </c>
      <c r="I18" s="6">
        <f>F18*H18</f>
        <v/>
      </c>
      <c r="J18" s="4" t="inlineStr">
        <is>
          <t>2024-03-01</t>
        </is>
      </c>
    </row>
    <row r="19">
      <c r="A19" s="10" t="n"/>
      <c r="B19" s="10" t="n"/>
      <c r="C19" s="10" t="n"/>
      <c r="D19" s="10" t="n"/>
      <c r="E19" s="10" t="n"/>
      <c r="F19" s="10" t="n"/>
      <c r="G19" s="10" t="n"/>
      <c r="H19" s="11" t="inlineStr">
        <is>
          <t>TOTAL:</t>
        </is>
      </c>
      <c r="I19" s="12">
        <f>SUM(I4:I18)</f>
        <v/>
      </c>
      <c r="J19" s="10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2026-06-15T23:44:58Z</dcterms:created>
  <dcterms:modified xmlns:dcterms="http://purl.org/dc/terms/" xmlns:xsi="http://www.w3.org/2001/XMLSchema-instance" xsi:type="dcterms:W3CDTF">2026-06-15T23:44:58Z</dcterms:modified>
</cp:coreProperties>
</file>