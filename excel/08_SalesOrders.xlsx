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26" customWidth="1" min="5" max="5"/>
    <col width="8" customWidth="1" min="6" max="6"/>
    <col width="12" customWidth="1" min="7" max="7"/>
    <col width="8" customWidth="1" min="8" max="8"/>
    <col width="14" customWidth="1" min="9" max="9"/>
    <col width="12" customWidth="1" min="10" max="10"/>
  </cols>
  <sheetData>
    <row r="1" ht="24" customHeight="1">
      <c r="A1" s="1" t="inlineStr">
        <is>
          <t>CACACUMO INC — Sales Orders</t>
        </is>
      </c>
    </row>
    <row r="2" ht="16" customHeight="1">
      <c r="A2" s="2" t="inlineStr">
        <is>
          <t>D365 F&amp;O: Sales and Marketing &gt; Sales Orders &gt; All Sales Orders</t>
        </is>
      </c>
    </row>
    <row r="3">
      <c r="A3" s="3" t="inlineStr">
        <is>
          <t>SO Number</t>
        </is>
      </c>
      <c r="B3" s="3" t="inlineStr">
        <is>
          <t>Customer ID</t>
        </is>
      </c>
      <c r="C3" s="3" t="inlineStr">
        <is>
          <t>Customer Name</t>
        </is>
      </c>
      <c r="D3" s="3" t="inlineStr">
        <is>
          <t>Item Number</t>
        </is>
      </c>
      <c r="E3" s="3" t="inlineStr">
        <is>
          <t>Description</t>
        </is>
      </c>
      <c r="F3" s="3" t="inlineStr">
        <is>
          <t>Qty</t>
        </is>
      </c>
      <c r="G3" s="3" t="inlineStr">
        <is>
          <t>Unit Price</t>
        </is>
      </c>
      <c r="H3" s="3" t="inlineStr">
        <is>
          <t>Disc %</t>
        </is>
      </c>
      <c r="I3" s="3" t="inlineStr">
        <is>
          <t>Line Total</t>
        </is>
      </c>
      <c r="J3" s="3" t="inlineStr">
        <is>
          <t>Order Date</t>
        </is>
      </c>
    </row>
    <row r="4">
      <c r="A4" s="4" t="inlineStr">
        <is>
          <t>SO-2024-001</t>
        </is>
      </c>
      <c r="B4" s="4" t="inlineStr">
        <is>
          <t>C001</t>
        </is>
      </c>
      <c r="C4" s="4" t="inlineStr">
        <is>
          <t>Walmart Stores Inc</t>
        </is>
      </c>
      <c r="D4" s="4" t="inlineStr">
        <is>
          <t>FG-ORA-24</t>
        </is>
      </c>
      <c r="E4" s="4" t="inlineStr">
        <is>
          <t>Orange Spark 24-Pack</t>
        </is>
      </c>
      <c r="F4" s="5" t="n">
        <v>1200</v>
      </c>
      <c r="G4" s="6" t="n">
        <v>26.99</v>
      </c>
      <c r="H4" s="7" t="n">
        <v>5</v>
      </c>
      <c r="I4" s="6">
        <f>F4*G4*(1-H4/100)</f>
        <v/>
      </c>
      <c r="J4" s="4" t="inlineStr">
        <is>
          <t>2024-02-01</t>
        </is>
      </c>
    </row>
    <row r="5">
      <c r="A5" s="8" t="inlineStr">
        <is>
          <t>SO-2024-001</t>
        </is>
      </c>
      <c r="B5" s="8" t="inlineStr">
        <is>
          <t>C001</t>
        </is>
      </c>
      <c r="C5" s="8" t="inlineStr">
        <is>
          <t>Walmart Stores Inc</t>
        </is>
      </c>
      <c r="D5" s="8" t="inlineStr">
        <is>
          <t>FG-MIX-24</t>
        </is>
      </c>
      <c r="E5" s="8" t="inlineStr">
        <is>
          <t>Variety 24-Pack</t>
        </is>
      </c>
      <c r="F5" s="9" t="n">
        <v>800</v>
      </c>
      <c r="G5" s="10" t="n">
        <v>28.99</v>
      </c>
      <c r="H5" s="11" t="n">
        <v>5</v>
      </c>
      <c r="I5" s="10">
        <f>F5*G5*(1-H5/100)</f>
        <v/>
      </c>
      <c r="J5" s="8" t="inlineStr">
        <is>
          <t>2024-02-01</t>
        </is>
      </c>
    </row>
    <row r="6">
      <c r="A6" s="4" t="inlineStr">
        <is>
          <t>SO-2024-002</t>
        </is>
      </c>
      <c r="B6" s="4" t="inlineStr">
        <is>
          <t>C002</t>
        </is>
      </c>
      <c r="C6" s="4" t="inlineStr">
        <is>
          <t>Kroger Co</t>
        </is>
      </c>
      <c r="D6" s="4" t="inlineStr">
        <is>
          <t>FG-ORA-12</t>
        </is>
      </c>
      <c r="E6" s="4" t="inlineStr">
        <is>
          <t>Orange Spark 12oz Can</t>
        </is>
      </c>
      <c r="F6" s="5" t="n">
        <v>15000</v>
      </c>
      <c r="G6" s="6" t="n">
        <v>1.25</v>
      </c>
      <c r="H6" s="7" t="n">
        <v>3</v>
      </c>
      <c r="I6" s="6">
        <f>F6*G6*(1-H6/100)</f>
        <v/>
      </c>
      <c r="J6" s="4" t="inlineStr">
        <is>
          <t>2024-02-03</t>
        </is>
      </c>
    </row>
    <row r="7">
      <c r="A7" s="8" t="inlineStr">
        <is>
          <t>SO-2024-002</t>
        </is>
      </c>
      <c r="B7" s="8" t="inlineStr">
        <is>
          <t>C002</t>
        </is>
      </c>
      <c r="C7" s="8" t="inlineStr">
        <is>
          <t>Kroger Co</t>
        </is>
      </c>
      <c r="D7" s="8" t="inlineStr">
        <is>
          <t>FG-LEM-12</t>
        </is>
      </c>
      <c r="E7" s="8" t="inlineStr">
        <is>
          <t>Lemon Zing 12oz Can</t>
        </is>
      </c>
      <c r="F7" s="9" t="n">
        <v>8000</v>
      </c>
      <c r="G7" s="10" t="n">
        <v>1.2</v>
      </c>
      <c r="H7" s="11" t="n">
        <v>3</v>
      </c>
      <c r="I7" s="10">
        <f>F7*G7*(1-H7/100)</f>
        <v/>
      </c>
      <c r="J7" s="8" t="inlineStr">
        <is>
          <t>2024-02-03</t>
        </is>
      </c>
    </row>
    <row r="8">
      <c r="A8" s="4" t="inlineStr">
        <is>
          <t>SO-2024-003</t>
        </is>
      </c>
      <c r="B8" s="4" t="inlineStr">
        <is>
          <t>C003</t>
        </is>
      </c>
      <c r="C8" s="4" t="inlineStr">
        <is>
          <t>Costco Wholesale</t>
        </is>
      </c>
      <c r="D8" s="4" t="inlineStr">
        <is>
          <t>FG-MIX-24</t>
        </is>
      </c>
      <c r="E8" s="4" t="inlineStr">
        <is>
          <t>Variety 24-Pack</t>
        </is>
      </c>
      <c r="F8" s="5" t="n">
        <v>2000</v>
      </c>
      <c r="G8" s="6" t="n">
        <v>28.99</v>
      </c>
      <c r="H8" s="7" t="n">
        <v>8</v>
      </c>
      <c r="I8" s="6">
        <f>F8*G8*(1-H8/100)</f>
        <v/>
      </c>
      <c r="J8" s="4" t="inlineStr">
        <is>
          <t>2024-02-05</t>
        </is>
      </c>
    </row>
    <row r="9">
      <c r="A9" s="8" t="inlineStr">
        <is>
          <t>SO-2024-004</t>
        </is>
      </c>
      <c r="B9" s="8" t="inlineStr">
        <is>
          <t>C004</t>
        </is>
      </c>
      <c r="C9" s="8" t="inlineStr">
        <is>
          <t>7-Eleven Inc</t>
        </is>
      </c>
      <c r="D9" s="8" t="inlineStr">
        <is>
          <t>FG-ORA-16</t>
        </is>
      </c>
      <c r="E9" s="8" t="inlineStr">
        <is>
          <t>Orange Spark 16oz Bottle</t>
        </is>
      </c>
      <c r="F9" s="9" t="n">
        <v>8000</v>
      </c>
      <c r="G9" s="10" t="n">
        <v>1.75</v>
      </c>
      <c r="H9" s="11" t="n">
        <v>0</v>
      </c>
      <c r="I9" s="10">
        <f>F9*G9*(1-H9/100)</f>
        <v/>
      </c>
      <c r="J9" s="8" t="inlineStr">
        <is>
          <t>2024-02-07</t>
        </is>
      </c>
    </row>
    <row r="10">
      <c r="A10" s="4" t="inlineStr">
        <is>
          <t>SO-2024-005</t>
        </is>
      </c>
      <c r="B10" s="4" t="inlineStr">
        <is>
          <t>C005</t>
        </is>
      </c>
      <c r="C10" s="4" t="inlineStr">
        <is>
          <t>QuikTrip Corporation</t>
        </is>
      </c>
      <c r="D10" s="4" t="inlineStr">
        <is>
          <t>FG-MNT-12</t>
        </is>
      </c>
      <c r="E10" s="4" t="inlineStr">
        <is>
          <t>Mint Refresh 12oz Can</t>
        </is>
      </c>
      <c r="F10" s="5" t="n">
        <v>6000</v>
      </c>
      <c r="G10" s="6" t="n">
        <v>1.3</v>
      </c>
      <c r="H10" s="7" t="n">
        <v>2</v>
      </c>
      <c r="I10" s="6">
        <f>F10*G10*(1-H10/100)</f>
        <v/>
      </c>
      <c r="J10" s="4" t="inlineStr">
        <is>
          <t>2024-02-08</t>
        </is>
      </c>
    </row>
    <row r="11">
      <c r="A11" s="8" t="inlineStr">
        <is>
          <t>SO-2024-006</t>
        </is>
      </c>
      <c r="B11" s="8" t="inlineStr">
        <is>
          <t>C006</t>
        </is>
      </c>
      <c r="C11" s="8" t="inlineStr">
        <is>
          <t>Sysco Corporation</t>
        </is>
      </c>
      <c r="D11" s="8" t="inlineStr">
        <is>
          <t>CON-ORA-LTR</t>
        </is>
      </c>
      <c r="E11" s="8" t="inlineStr">
        <is>
          <t>Orange Concentrate 1L</t>
        </is>
      </c>
      <c r="F11" s="9" t="n">
        <v>800</v>
      </c>
      <c r="G11" s="10" t="n">
        <v>22</v>
      </c>
      <c r="H11" s="11" t="n">
        <v>5</v>
      </c>
      <c r="I11" s="10">
        <f>F11*G11*(1-H11/100)</f>
        <v/>
      </c>
      <c r="J11" s="8" t="inlineStr">
        <is>
          <t>2024-02-10</t>
        </is>
      </c>
    </row>
    <row r="12">
      <c r="A12" s="4" t="inlineStr">
        <is>
          <t>SO-2024-006</t>
        </is>
      </c>
      <c r="B12" s="4" t="inlineStr">
        <is>
          <t>C006</t>
        </is>
      </c>
      <c r="C12" s="4" t="inlineStr">
        <is>
          <t>Sysco Corporation</t>
        </is>
      </c>
      <c r="D12" s="4" t="inlineStr">
        <is>
          <t>CON-LEM-LTR</t>
        </is>
      </c>
      <c r="E12" s="4" t="inlineStr">
        <is>
          <t>Lemon Concentrate 1L</t>
        </is>
      </c>
      <c r="F12" s="5" t="n">
        <v>600</v>
      </c>
      <c r="G12" s="6" t="n">
        <v>21</v>
      </c>
      <c r="H12" s="7" t="n">
        <v>5</v>
      </c>
      <c r="I12" s="6">
        <f>F12*G12*(1-H12/100)</f>
        <v/>
      </c>
      <c r="J12" s="4" t="inlineStr">
        <is>
          <t>2024-02-10</t>
        </is>
      </c>
    </row>
    <row r="13">
      <c r="A13" s="8" t="inlineStr">
        <is>
          <t>SO-2024-007</t>
        </is>
      </c>
      <c r="B13" s="8" t="inlineStr">
        <is>
          <t>C007</t>
        </is>
      </c>
      <c r="C13" s="8" t="inlineStr">
        <is>
          <t>Target Corporation</t>
        </is>
      </c>
      <c r="D13" s="8" t="inlineStr">
        <is>
          <t>FG-ORA-24</t>
        </is>
      </c>
      <c r="E13" s="8" t="inlineStr">
        <is>
          <t>Orange Spark 24-Pack</t>
        </is>
      </c>
      <c r="F13" s="9" t="n">
        <v>1000</v>
      </c>
      <c r="G13" s="10" t="n">
        <v>26.99</v>
      </c>
      <c r="H13" s="11" t="n">
        <v>3</v>
      </c>
      <c r="I13" s="10">
        <f>F13*G13*(1-H13/100)</f>
        <v/>
      </c>
      <c r="J13" s="8" t="inlineStr">
        <is>
          <t>2024-02-12</t>
        </is>
      </c>
    </row>
    <row r="14">
      <c r="A14" s="4" t="inlineStr">
        <is>
          <t>SO-2024-008</t>
        </is>
      </c>
      <c r="B14" s="4" t="inlineStr">
        <is>
          <t>C008</t>
        </is>
      </c>
      <c r="C14" s="4" t="inlineStr">
        <is>
          <t>Amazon Fresh</t>
        </is>
      </c>
      <c r="D14" s="4" t="inlineStr">
        <is>
          <t>FG-MNG-12</t>
        </is>
      </c>
      <c r="E14" s="4" t="inlineStr">
        <is>
          <t>Mango Blast 12oz Can</t>
        </is>
      </c>
      <c r="F14" s="5" t="n">
        <v>10000</v>
      </c>
      <c r="G14" s="6" t="n">
        <v>1.35</v>
      </c>
      <c r="H14" s="7" t="n">
        <v>2</v>
      </c>
      <c r="I14" s="6">
        <f>F14*G14*(1-H14/100)</f>
        <v/>
      </c>
      <c r="J14" s="4" t="inlineStr">
        <is>
          <t>2024-02-14</t>
        </is>
      </c>
    </row>
    <row r="15">
      <c r="A15" s="8" t="inlineStr">
        <is>
          <t>SO-2024-009</t>
        </is>
      </c>
      <c r="B15" s="8" t="inlineStr">
        <is>
          <t>C010</t>
        </is>
      </c>
      <c r="C15" s="8" t="inlineStr">
        <is>
          <t>HEB Grocery</t>
        </is>
      </c>
      <c r="D15" s="8" t="inlineStr">
        <is>
          <t>FG-ORA-12</t>
        </is>
      </c>
      <c r="E15" s="8" t="inlineStr">
        <is>
          <t>Orange Spark 12oz Can</t>
        </is>
      </c>
      <c r="F15" s="9" t="n">
        <v>18000</v>
      </c>
      <c r="G15" s="10" t="n">
        <v>1.25</v>
      </c>
      <c r="H15" s="11" t="n">
        <v>4</v>
      </c>
      <c r="I15" s="10">
        <f>F15*G15*(1-H15/100)</f>
        <v/>
      </c>
      <c r="J15" s="8" t="inlineStr">
        <is>
          <t>2024-02-15</t>
        </is>
      </c>
    </row>
    <row r="16">
      <c r="A16" s="4" t="inlineStr">
        <is>
          <t>SO-2024-010</t>
        </is>
      </c>
      <c r="B16" s="4" t="inlineStr">
        <is>
          <t>C012</t>
        </is>
      </c>
      <c r="C16" s="4" t="inlineStr">
        <is>
          <t>Publix Super Markets</t>
        </is>
      </c>
      <c r="D16" s="4" t="inlineStr">
        <is>
          <t>FG-LEM-12</t>
        </is>
      </c>
      <c r="E16" s="4" t="inlineStr">
        <is>
          <t>Lemon Zing 12oz Can</t>
        </is>
      </c>
      <c r="F16" s="5" t="n">
        <v>12000</v>
      </c>
      <c r="G16" s="6" t="n">
        <v>1.2</v>
      </c>
      <c r="H16" s="7" t="n">
        <v>3</v>
      </c>
      <c r="I16" s="6">
        <f>F16*G16*(1-H16/100)</f>
        <v/>
      </c>
      <c r="J16" s="4" t="inlineStr">
        <is>
          <t>2024-02-16</t>
        </is>
      </c>
    </row>
    <row r="17">
      <c r="A17" s="8" t="inlineStr">
        <is>
          <t>SO-2024-011</t>
        </is>
      </c>
      <c r="B17" s="8" t="inlineStr">
        <is>
          <t>C013</t>
        </is>
      </c>
      <c r="C17" s="8" t="inlineStr">
        <is>
          <t>Sam's Club</t>
        </is>
      </c>
      <c r="D17" s="8" t="inlineStr">
        <is>
          <t>FG-MIX-24</t>
        </is>
      </c>
      <c r="E17" s="8" t="inlineStr">
        <is>
          <t>Variety 24-Pack</t>
        </is>
      </c>
      <c r="F17" s="9" t="n">
        <v>1800</v>
      </c>
      <c r="G17" s="10" t="n">
        <v>28.99</v>
      </c>
      <c r="H17" s="11" t="n">
        <v>8</v>
      </c>
      <c r="I17" s="10">
        <f>F17*G17*(1-H17/100)</f>
        <v/>
      </c>
      <c r="J17" s="8" t="inlineStr">
        <is>
          <t>2024-02-18</t>
        </is>
      </c>
    </row>
    <row r="18">
      <c r="A18" s="4" t="inlineStr">
        <is>
          <t>SO-2024-012</t>
        </is>
      </c>
      <c r="B18" s="4" t="inlineStr">
        <is>
          <t>C014</t>
        </is>
      </c>
      <c r="C18" s="4" t="inlineStr">
        <is>
          <t>Whole Foods Market</t>
        </is>
      </c>
      <c r="D18" s="4" t="inlineStr">
        <is>
          <t>FG-MNT-12</t>
        </is>
      </c>
      <c r="E18" s="4" t="inlineStr">
        <is>
          <t>Mint Refresh 12oz Can</t>
        </is>
      </c>
      <c r="F18" s="5" t="n">
        <v>4500</v>
      </c>
      <c r="G18" s="6" t="n">
        <v>1.3</v>
      </c>
      <c r="H18" s="7" t="n">
        <v>0</v>
      </c>
      <c r="I18" s="6">
        <f>F18*G18*(1-H18/100)</f>
        <v/>
      </c>
      <c r="J18" s="4" t="inlineStr">
        <is>
          <t>2024-02-20</t>
        </is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3" t="inlineStr">
        <is>
          <t>TOTAL:</t>
        </is>
      </c>
      <c r="I19" s="14">
        <f>SUM(I4:I18)</f>
        <v/>
      </c>
      <c r="J19" s="12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2026-06-15T23:44:59Z</dcterms:created>
  <dcterms:modified xmlns:dcterms="http://purl.org/dc/terms/" xmlns:xsi="http://www.w3.org/2001/XMLSchema-instance" xsi:type="dcterms:W3CDTF">2026-06-15T23:44:59Z</dcterms:modified>
</cp:coreProperties>
</file>